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5325\Desktop\Ingest\data\bundle_youth_wellbeing\"/>
    </mc:Choice>
  </mc:AlternateContent>
  <xr:revisionPtr revIDLastSave="0" documentId="13_ncr:1_{7BB785A8-2B42-4D90-B9A5-234384B544AD}" xr6:coauthVersionLast="47" xr6:coauthVersionMax="47" xr10:uidLastSave="{00000000-0000-0000-0000-000000000000}"/>
  <bookViews>
    <workbookView xWindow="28680" yWindow="-120" windowWidth="29040" windowHeight="15720" firstSheet="3" activeTab="8" xr2:uid="{5914493F-0B62-4AE7-AE55-310BC051D001}"/>
  </bookViews>
  <sheets>
    <sheet name="Parquets" sheetId="16" r:id="rId1"/>
    <sheet name="Overview" sheetId="15" r:id="rId2"/>
    <sheet name="Main page" sheetId="1" r:id="rId3"/>
    <sheet name="Injury &amp; violence" sheetId="8" r:id="rId4"/>
    <sheet name="Substance abuse" sheetId="9" r:id="rId5"/>
    <sheet name="Mental health" sheetId="10" r:id="rId6"/>
    <sheet name="Chronic disease" sheetId="11" r:id="rId7"/>
    <sheet name="Preventive health &amp; wellness" sheetId="12" r:id="rId8"/>
    <sheet name="Social determinants of health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4" l="1"/>
  <c r="F6" i="14"/>
  <c r="F5" i="14"/>
  <c r="F4" i="14"/>
  <c r="F3" i="14"/>
  <c r="F2" i="14"/>
  <c r="F10" i="12"/>
  <c r="F9" i="12"/>
  <c r="F8" i="12"/>
  <c r="F7" i="12"/>
  <c r="F6" i="12"/>
  <c r="F5" i="12"/>
  <c r="F4" i="12"/>
  <c r="F3" i="12"/>
  <c r="F2" i="12"/>
  <c r="F9" i="11"/>
  <c r="F8" i="11"/>
  <c r="F7" i="11"/>
  <c r="F6" i="11"/>
  <c r="F5" i="11"/>
  <c r="F4" i="11"/>
  <c r="F3" i="11"/>
  <c r="F2" i="11"/>
  <c r="F9" i="10"/>
  <c r="F8" i="10"/>
  <c r="F6" i="10"/>
  <c r="F5" i="10"/>
  <c r="F2" i="10"/>
  <c r="F4" i="9"/>
  <c r="F5" i="9"/>
  <c r="F3" i="9"/>
  <c r="F2" i="9"/>
  <c r="F2" i="8"/>
  <c r="F9" i="8"/>
  <c r="F8" i="8"/>
  <c r="F7" i="8"/>
  <c r="F5" i="8"/>
  <c r="F4" i="8"/>
  <c r="F3" i="8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2" i="15"/>
</calcChain>
</file>

<file path=xl/sharedStrings.xml><?xml version="1.0" encoding="utf-8"?>
<sst xmlns="http://schemas.openxmlformats.org/spreadsheetml/2006/main" count="481" uniqueCount="169">
  <si>
    <t>Dataset Source</t>
  </si>
  <si>
    <t>Parquet file(s)</t>
  </si>
  <si>
    <t>NEISS</t>
  </si>
  <si>
    <t>Details</t>
  </si>
  <si>
    <t xml:space="preserve">What is injuring kids? </t>
  </si>
  <si>
    <t>Notes</t>
  </si>
  <si>
    <t>Top X (5?) causes of injury by age group (1 month buckets for ages 0-2, 5 year age groups after)</t>
  </si>
  <si>
    <t xml:space="preserve">What is making kids sick? </t>
  </si>
  <si>
    <t>Epic</t>
  </si>
  <si>
    <r>
      <t xml:space="preserve">Top X (5?) chief complaints by age group (1 month buckets for ages 0-2, 5 year age groups after) </t>
    </r>
    <r>
      <rPr>
        <b/>
        <sz val="11"/>
        <color theme="1"/>
        <rFont val="Aptos Narrow"/>
        <family val="2"/>
        <scheme val="minor"/>
      </rPr>
      <t>at county level</t>
    </r>
  </si>
  <si>
    <t>Concussions</t>
  </si>
  <si>
    <t>YRBSS</t>
  </si>
  <si>
    <t>Motor vehicle accidents</t>
  </si>
  <si>
    <t>Focus area</t>
  </si>
  <si>
    <t>WISQARS</t>
  </si>
  <si>
    <t>NHTSA</t>
  </si>
  <si>
    <t>Variables</t>
  </si>
  <si>
    <t>Dangerous driving</t>
  </si>
  <si>
    <t>Firearms</t>
  </si>
  <si>
    <t>pct_carried_weapon_school, pct_carried_gun, pct_threatened_weapon_school</t>
  </si>
  <si>
    <t>Geographic resolution</t>
  </si>
  <si>
    <t>State</t>
  </si>
  <si>
    <t>sex, race, ethnicity</t>
  </si>
  <si>
    <t>Demographic resolution(s)
*all have age unless noted</t>
  </si>
  <si>
    <t xml:space="preserve">Only at national level </t>
  </si>
  <si>
    <t>age, sex</t>
  </si>
  <si>
    <t>age</t>
  </si>
  <si>
    <t>Substances used</t>
  </si>
  <si>
    <t>Overdose trends</t>
  </si>
  <si>
    <t>Follow up for ED visits for any drug/alcohol related reason</t>
  </si>
  <si>
    <t>medicaid_quality</t>
  </si>
  <si>
    <t>Suicide and suiciadal ideation</t>
  </si>
  <si>
    <t>Crisis text line</t>
  </si>
  <si>
    <t>Anxiety</t>
  </si>
  <si>
    <t>Bullying</t>
  </si>
  <si>
    <t>Care seeking</t>
  </si>
  <si>
    <r>
      <t xml:space="preserve">ED visits for mental health
ED visits for suicide
Hospital admissions for suicide, depression, disordered eating, 
</t>
    </r>
    <r>
      <rPr>
        <b/>
        <sz val="11"/>
        <color rgb="FFFF0000"/>
        <rFont val="Aptos Narrow"/>
        <family val="2"/>
        <scheme val="minor"/>
      </rPr>
      <t>Length of stay in ED/discharge status</t>
    </r>
  </si>
  <si>
    <t>General mental health measures</t>
  </si>
  <si>
    <t>CHR</t>
  </si>
  <si>
    <t>County</t>
  </si>
  <si>
    <t>age baked into variable</t>
  </si>
  <si>
    <t>Obesity</t>
  </si>
  <si>
    <t>County (no time variable), state</t>
  </si>
  <si>
    <t>Diabetes</t>
  </si>
  <si>
    <t>Asthma</t>
  </si>
  <si>
    <t>Lead testing</t>
  </si>
  <si>
    <t>Not age stratified</t>
  </si>
  <si>
    <t>Environmental health</t>
  </si>
  <si>
    <t>Infant mortality (chr_infant_mortality) and child mortality (chr_child_mortality)</t>
  </si>
  <si>
    <t>Age baked in</t>
  </si>
  <si>
    <t>chr_air_pollution_ozone_days, chr_air_pollution_particulate_matter_days, chr_contaminants_in_municipal_water_wi, chr_air_pollution_particulate_matter, chr_adverse_climate_events</t>
  </si>
  <si>
    <t>NOAA heat risk</t>
  </si>
  <si>
    <t xml:space="preserve"> </t>
  </si>
  <si>
    <t>Schools</t>
  </si>
  <si>
    <t>Access to care</t>
  </si>
  <si>
    <t>chr_high_school_completion, chr_school_segregation, chr_school_funding_adequacy, chr_child_care_centers, chr_high_school_graduation, chr_math_scores, chr_reading_scores</t>
  </si>
  <si>
    <t>chr_uninsured_children, chr_primary_care_physicians, chr_inadequate_social_support, chr_other_primary_care_providers</t>
  </si>
  <si>
    <t>Poverty measures</t>
  </si>
  <si>
    <t>Surrounding communtiy</t>
  </si>
  <si>
    <t>Housing</t>
  </si>
  <si>
    <t xml:space="preserve">chr_children_in_poverty, chr_income_inequality, chr_food_insecurity, </t>
  </si>
  <si>
    <t>chr_single_parent_households, chr_high_housing_costs, chr_severe_housing_problems, chr_severe_housing_cost_burden</t>
  </si>
  <si>
    <t>Crime/violence</t>
  </si>
  <si>
    <t>chr_access_to_recreational_facilities, chr_limited_access_to_healthy_foods, chr_access_to_parks, chr_access_to_exercise_opportunities, chr_food_environment_index, chr_residential_segregation_black_white</t>
  </si>
  <si>
    <t>chr_violent_crime, chr_juvenile_arrests, chr_firearm_fatalities</t>
  </si>
  <si>
    <t>Pregnancy</t>
  </si>
  <si>
    <t>Contraception</t>
  </si>
  <si>
    <t>Preventative health</t>
  </si>
  <si>
    <t>Vaccinations</t>
  </si>
  <si>
    <t>childhood immunization bundle</t>
  </si>
  <si>
    <t>Activity levels</t>
  </si>
  <si>
    <t>Nutrition</t>
  </si>
  <si>
    <t>pct_no_breakfast, pct_no_breakfast_7days, pct_no_fruit, pct_no_vegetables</t>
  </si>
  <si>
    <t>sex</t>
  </si>
  <si>
    <t>Dataset source</t>
  </si>
  <si>
    <t>Injury and violence</t>
  </si>
  <si>
    <t xml:space="preserve">pedal_cyclist_mv_traffic, pedestrian_mv_traffic, motor_vehicle_traffic (_deaths_ and _rate_) </t>
  </si>
  <si>
    <t>pct_no_seatbelt, pct_rode_drinking_driver, pct_drove_drinking, pct_text_while_driving</t>
  </si>
  <si>
    <t>Epic Injury</t>
  </si>
  <si>
    <t>epic_n_ed_firearm, epic_rate_ed_firearm</t>
  </si>
  <si>
    <t>Substance abuse</t>
  </si>
  <si>
    <t>pct_ever_cigarette pct_ever_vape pct_current_smokeless_tobacco pct_current_alcohol pct_binge_drinking pct_ever_marijuana pct_early_marijuana pct_current_marijuana pct_ever_rx_opioid_misuse pct_current_rx_opioid_misuse pct_ever_cocaine pct_ever_inhalants pct_ever_heroin pct_ever_methamphetamines pct_ever_ecstasy pct_ever_hallucinogens pct_ever_inject_drug pct_ever_illicit_drug</t>
  </si>
  <si>
    <t>Epic Chronic</t>
  </si>
  <si>
    <t>Follow up for ED visits for drug/alcohol related reasons</t>
  </si>
  <si>
    <t>medicaid_fua_ch_30d_rate, medicaid_fua_ch_7d_rate</t>
  </si>
  <si>
    <t>Mental health</t>
  </si>
  <si>
    <t>pct_considered_suicide, pct_planned_suicide, pct_attempted_suicide, pct_injurious_suicide_attempt</t>
  </si>
  <si>
    <t>pct_bullied_at_school, pct_bullied_electronic</t>
  </si>
  <si>
    <t xml:space="preserve">Care seeking </t>
  </si>
  <si>
    <t>medicaid_fuh_ch_30d_rate, medicaid_fuh_ch_7d_rate</t>
  </si>
  <si>
    <t>pct_social_media_daily, pct_poor_mental_health, pct_insufficient_sleep, pct_not_close_at_school</t>
  </si>
  <si>
    <t>chr_disconnected_youth</t>
  </si>
  <si>
    <t>Chronic disease</t>
  </si>
  <si>
    <t>obesity_bmi, obesity_dx_ccw, n_patients_chronic</t>
  </si>
  <si>
    <t>diabetes_a1c_6_5, diabetes_dx_ccw</t>
  </si>
  <si>
    <t>medicaid_mma_ch_rate, medicaid_amr_ch_rate</t>
  </si>
  <si>
    <t>medicaid_lsc_ch_rate</t>
  </si>
  <si>
    <t>chr_lead_poisoned_children</t>
  </si>
  <si>
    <t>epic_rate_ed_heat, epic_n_ed_heat</t>
  </si>
  <si>
    <t>value, low_coverage_flag</t>
  </si>
  <si>
    <t>Preventative health and wellness</t>
  </si>
  <si>
    <t>chr_teen_births</t>
  </si>
  <si>
    <t>medicaid_fpc_ch_rate, medicaid_ppc_ch_rate</t>
  </si>
  <si>
    <t>medicaid_ccp_ch_rate</t>
  </si>
  <si>
    <t>medicaid_ima_ch_rate, medicaid_w34_ch_rate, medicaid_awc_ch_rate, medicaid_w15_ch_rate, medicaid_w30_ch_rate, medicaid_oev_ch_rate, medicaid_cap_ch_rate, medicaid_dev_ch_rate</t>
  </si>
  <si>
    <t>Childhood immunization bundle</t>
  </si>
  <si>
    <t>pct_inactive_60min_5days, pct_no_pe_classes, pct_no_sports_team, pct_no_daily_pe, pct_inactive_all_days</t>
  </si>
  <si>
    <t>medicaid_wcc_ch_rate</t>
  </si>
  <si>
    <t>chr_limited_access_to_healthy_foods, chr_food_environment_index</t>
  </si>
  <si>
    <t>Social determinants of health</t>
  </si>
  <si>
    <t>Section</t>
  </si>
  <si>
    <t>nhtsa_fatalities from data_age_sex</t>
  </si>
  <si>
    <t>pct_sports_concussion</t>
  </si>
  <si>
    <t>wisqars_deaths_drug_poisoning, wisqars_rate_drug_poisoning</t>
  </si>
  <si>
    <t>epic_rate_ed_opioid, epic_n_ed_opioid</t>
  </si>
  <si>
    <t>Epic injury</t>
  </si>
  <si>
    <t>wisqars_rate_firearm_accident, wisqars_rate_firearm_homicide, wisqars_rate_firearm_suicide, wisqars_rate_firearm_intentional, wisqars_deaths_firearm_accident, wisqars_deaths_firearm_homicide, wisqars_deaths_firearm_suicide, wisqars_deaths_firearm_intentional</t>
  </si>
  <si>
    <t>Parquet file</t>
  </si>
  <si>
    <t>wisqars_state_age_demographics.parquet</t>
  </si>
  <si>
    <t>#</t>
  </si>
  <si>
    <t>File</t>
  </si>
  <si>
    <t>Rows</t>
  </si>
  <si>
    <t>MB</t>
  </si>
  <si>
    <t>Geography</t>
  </si>
  <si>
    <t>Strata beyond age</t>
  </si>
  <si>
    <t>Time span</t>
  </si>
  <si>
    <t>state + national (52)</t>
  </si>
  <si>
    <t>2001–2024, annual</t>
  </si>
  <si>
    <t>nhtsa_state_age_sex.parquet</t>
  </si>
  <si>
    <t>2000–2024, annual</t>
  </si>
  <si>
    <t>nhtsa_county_age_sex.parquet</t>
  </si>
  <si>
    <t>county (3,129)</t>
  </si>
  <si>
    <t>yrbss_state_age_demographics.parquet</t>
  </si>
  <si>
    <t>state + national (49)</t>
  </si>
  <si>
    <t>2005–2023, biennial</t>
  </si>
  <si>
    <t>epic_injury_state_age_year.parquet</t>
  </si>
  <si>
    <t>—</t>
  </si>
  <si>
    <t>2018–2025, annual</t>
  </si>
  <si>
    <t>epic_injury_state_age_month.parquet</t>
  </si>
  <si>
    <t>2018-01–2025-09, monthly</t>
  </si>
  <si>
    <t>epic_chronic_state_age.parquet</t>
  </si>
  <si>
    <t>2016–2025, annual</t>
  </si>
  <si>
    <t>epic_chronic_county_age.parquet</t>
  </si>
  <si>
    <t>county (3,137)</t>
  </si>
  <si>
    <t>2023–2025, annual</t>
  </si>
  <si>
    <t>medicaid_state_payer.parquet</t>
  </si>
  <si>
    <t>state (51)</t>
  </si>
  <si>
    <t>payer, domain</t>
  </si>
  <si>
    <t>2014–2023, annual</t>
  </si>
  <si>
    <t>chr_state.parquet</t>
  </si>
  <si>
    <t>2010–2025, annual</t>
  </si>
  <si>
    <t>chr_county.parquet</t>
  </si>
  <si>
    <t>county (3,159)</t>
  </si>
  <si>
    <t>noaa_heat_risk_state.parquet</t>
  </si>
  <si>
    <t>state (50)</t>
  </si>
  <si>
    <t>forecast_day</t>
  </si>
  <si>
    <t>noaa_heat_risk_county.parquet</t>
  </si>
  <si>
    <t>county (3,109)</t>
  </si>
  <si>
    <t>immunizations_state_age_vaccine.parquet</t>
  </si>
  <si>
    <t>vaccine</t>
  </si>
  <si>
    <t>2011–2024, annual</t>
  </si>
  <si>
    <t>2024-08→2026-08, daily</t>
  </si>
  <si>
    <t>Parquet</t>
  </si>
  <si>
    <t>Dataset</t>
  </si>
  <si>
    <t>nhtsa_state_age_sex.parquet, nhtsa_county_age_sex.parquet</t>
  </si>
  <si>
    <t>epic_injury_state_age_year.parquet, epic_injury_state_age_month.parquet</t>
  </si>
  <si>
    <t>epic_chronic_state_age.parquet, epic_chronic_county_age.parquet,</t>
  </si>
  <si>
    <t>chr_state.parquet, chr_county.parquet</t>
  </si>
  <si>
    <t>noaa_heat_risk_state.parquet, noaa_heat_risk_county.parquet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</si>
</sst>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 applyAlignment="1"/>
    <xf numFmtId="3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A9B1-DF3E-4F73-B66D-B5CA0187AF13}">
  <dimension ref="A1:K29"/>
  <sheetViews>
    <sheetView topLeftCell="H1" workbookViewId="0">
      <selection activeCell="K5" sqref="K5"/>
    </sheetView>
  </sheetViews>
  <sheetFormatPr defaultRowHeight="14.5" x14ac:dyDescent="0.35"/>
  <cols>
    <col min="1" max="1" width="2.81640625" bestFit="1" customWidth="1"/>
    <col min="2" max="2" width="37.6328125" bestFit="1" customWidth="1"/>
    <col min="3" max="3" width="8.90625" bestFit="1" customWidth="1"/>
    <col min="4" max="4" width="4.81640625" bestFit="1" customWidth="1"/>
    <col min="5" max="5" width="17.81640625" bestFit="1" customWidth="1"/>
    <col min="6" max="6" width="16.6328125" bestFit="1" customWidth="1"/>
    <col min="7" max="7" width="22.7265625" bestFit="1" customWidth="1"/>
    <col min="10" max="10" width="64.36328125" bestFit="1" customWidth="1"/>
  </cols>
  <sheetData>
    <row r="1" spans="1:11" s="1" customFormat="1" x14ac:dyDescent="0.3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J1" s="1" t="s">
        <v>162</v>
      </c>
      <c r="K1" s="1" t="s">
        <v>163</v>
      </c>
    </row>
    <row r="2" spans="1:11" x14ac:dyDescent="0.35">
      <c r="A2">
        <v>1</v>
      </c>
      <c r="B2" t="s">
        <v>118</v>
      </c>
      <c r="C2" s="14">
        <v>91298</v>
      </c>
      <c r="D2">
        <v>0.26</v>
      </c>
      <c r="E2" t="s">
        <v>126</v>
      </c>
      <c r="F2" t="s">
        <v>22</v>
      </c>
      <c r="G2" t="s">
        <v>127</v>
      </c>
      <c r="J2" t="s">
        <v>118</v>
      </c>
      <c r="K2" t="s">
        <v>14</v>
      </c>
    </row>
    <row r="3" spans="1:11" x14ac:dyDescent="0.35">
      <c r="A3">
        <v>2</v>
      </c>
      <c r="B3" t="s">
        <v>128</v>
      </c>
      <c r="C3" s="14">
        <v>7606</v>
      </c>
      <c r="D3">
        <v>0.02</v>
      </c>
      <c r="E3" t="s">
        <v>126</v>
      </c>
      <c r="F3" t="s">
        <v>73</v>
      </c>
      <c r="G3" t="s">
        <v>129</v>
      </c>
      <c r="J3" s="15" t="s">
        <v>164</v>
      </c>
      <c r="K3" s="15" t="s">
        <v>15</v>
      </c>
    </row>
    <row r="4" spans="1:11" x14ac:dyDescent="0.35">
      <c r="A4">
        <v>3</v>
      </c>
      <c r="B4" t="s">
        <v>130</v>
      </c>
      <c r="C4" s="14">
        <v>164160</v>
      </c>
      <c r="D4">
        <v>0.35</v>
      </c>
      <c r="E4" t="s">
        <v>131</v>
      </c>
      <c r="F4" t="s">
        <v>73</v>
      </c>
      <c r="G4" t="s">
        <v>129</v>
      </c>
      <c r="J4" t="s">
        <v>132</v>
      </c>
      <c r="K4" t="s">
        <v>11</v>
      </c>
    </row>
    <row r="5" spans="1:11" x14ac:dyDescent="0.35">
      <c r="A5">
        <v>4</v>
      </c>
      <c r="B5" t="s">
        <v>132</v>
      </c>
      <c r="C5" s="14">
        <v>264600</v>
      </c>
      <c r="D5">
        <v>0.72</v>
      </c>
      <c r="E5" t="s">
        <v>133</v>
      </c>
      <c r="F5" t="s">
        <v>22</v>
      </c>
      <c r="G5" t="s">
        <v>134</v>
      </c>
      <c r="J5" t="s">
        <v>165</v>
      </c>
      <c r="K5" t="s">
        <v>78</v>
      </c>
    </row>
    <row r="6" spans="1:11" x14ac:dyDescent="0.35">
      <c r="A6">
        <v>5</v>
      </c>
      <c r="B6" t="s">
        <v>135</v>
      </c>
      <c r="C6" s="14">
        <v>4992</v>
      </c>
      <c r="D6">
        <v>0.03</v>
      </c>
      <c r="E6" t="s">
        <v>126</v>
      </c>
      <c r="F6" t="s">
        <v>136</v>
      </c>
      <c r="G6" t="s">
        <v>137</v>
      </c>
      <c r="J6" t="s">
        <v>166</v>
      </c>
      <c r="K6" t="s">
        <v>82</v>
      </c>
    </row>
    <row r="7" spans="1:11" x14ac:dyDescent="0.35">
      <c r="A7">
        <v>6</v>
      </c>
      <c r="B7" t="s">
        <v>138</v>
      </c>
      <c r="C7" s="14">
        <v>58005</v>
      </c>
      <c r="D7">
        <v>0.16</v>
      </c>
      <c r="E7" t="s">
        <v>126</v>
      </c>
      <c r="F7" t="s">
        <v>136</v>
      </c>
      <c r="G7" t="s">
        <v>139</v>
      </c>
      <c r="J7" t="s">
        <v>145</v>
      </c>
      <c r="K7" t="s">
        <v>30</v>
      </c>
    </row>
    <row r="8" spans="1:11" x14ac:dyDescent="0.35">
      <c r="A8">
        <v>7</v>
      </c>
      <c r="B8" t="s">
        <v>140</v>
      </c>
      <c r="C8" s="14">
        <v>2600</v>
      </c>
      <c r="D8">
        <v>0.01</v>
      </c>
      <c r="E8" t="s">
        <v>126</v>
      </c>
      <c r="F8" t="s">
        <v>136</v>
      </c>
      <c r="G8" t="s">
        <v>141</v>
      </c>
      <c r="J8" t="s">
        <v>167</v>
      </c>
      <c r="K8" t="s">
        <v>38</v>
      </c>
    </row>
    <row r="9" spans="1:11" x14ac:dyDescent="0.35">
      <c r="A9">
        <v>8</v>
      </c>
      <c r="B9" t="s">
        <v>142</v>
      </c>
      <c r="C9" s="14">
        <v>47055</v>
      </c>
      <c r="D9">
        <v>0.27</v>
      </c>
      <c r="E9" t="s">
        <v>143</v>
      </c>
      <c r="F9" t="s">
        <v>136</v>
      </c>
      <c r="G9" t="s">
        <v>144</v>
      </c>
      <c r="J9" t="s">
        <v>168</v>
      </c>
      <c r="K9" t="s">
        <v>51</v>
      </c>
    </row>
    <row r="10" spans="1:11" x14ac:dyDescent="0.35">
      <c r="A10">
        <v>9</v>
      </c>
      <c r="B10" t="s">
        <v>145</v>
      </c>
      <c r="C10" s="14">
        <v>5280</v>
      </c>
      <c r="D10">
        <v>0.03</v>
      </c>
      <c r="E10" t="s">
        <v>146</v>
      </c>
      <c r="F10" t="s">
        <v>147</v>
      </c>
      <c r="G10" t="s">
        <v>148</v>
      </c>
      <c r="J10" t="s">
        <v>158</v>
      </c>
      <c r="K10" s="15" t="s">
        <v>69</v>
      </c>
    </row>
    <row r="11" spans="1:11" x14ac:dyDescent="0.35">
      <c r="A11">
        <v>10</v>
      </c>
      <c r="B11" t="s">
        <v>149</v>
      </c>
      <c r="C11" s="14">
        <v>15406</v>
      </c>
      <c r="D11">
        <v>0.11</v>
      </c>
      <c r="E11" t="s">
        <v>126</v>
      </c>
      <c r="F11" t="s">
        <v>136</v>
      </c>
      <c r="G11" t="s">
        <v>150</v>
      </c>
    </row>
    <row r="12" spans="1:11" x14ac:dyDescent="0.35">
      <c r="A12">
        <v>11</v>
      </c>
      <c r="B12" t="s">
        <v>151</v>
      </c>
      <c r="C12" s="14">
        <v>884453</v>
      </c>
      <c r="D12">
        <v>5.53</v>
      </c>
      <c r="E12" t="s">
        <v>152</v>
      </c>
      <c r="F12" t="s">
        <v>136</v>
      </c>
      <c r="G12" t="s">
        <v>150</v>
      </c>
    </row>
    <row r="13" spans="1:11" x14ac:dyDescent="0.35">
      <c r="A13">
        <v>12</v>
      </c>
      <c r="B13" t="s">
        <v>153</v>
      </c>
      <c r="C13" s="14">
        <v>36500</v>
      </c>
      <c r="D13">
        <v>0.11</v>
      </c>
      <c r="E13" t="s">
        <v>154</v>
      </c>
      <c r="F13" t="s">
        <v>155</v>
      </c>
      <c r="G13" t="s">
        <v>161</v>
      </c>
    </row>
    <row r="14" spans="1:11" x14ac:dyDescent="0.35">
      <c r="A14">
        <v>13</v>
      </c>
      <c r="B14" t="s">
        <v>156</v>
      </c>
      <c r="C14" s="14">
        <v>2269570</v>
      </c>
      <c r="D14">
        <v>2.97</v>
      </c>
      <c r="E14" t="s">
        <v>157</v>
      </c>
      <c r="F14" t="s">
        <v>155</v>
      </c>
      <c r="G14" t="s">
        <v>161</v>
      </c>
    </row>
    <row r="15" spans="1:11" x14ac:dyDescent="0.35">
      <c r="A15">
        <v>14</v>
      </c>
      <c r="B15" t="s">
        <v>158</v>
      </c>
      <c r="C15" s="14">
        <v>47777</v>
      </c>
      <c r="D15">
        <v>0.25</v>
      </c>
      <c r="E15" t="s">
        <v>126</v>
      </c>
      <c r="F15" t="s">
        <v>159</v>
      </c>
      <c r="G15" t="s">
        <v>160</v>
      </c>
    </row>
    <row r="20" spans="2:5" x14ac:dyDescent="0.35">
      <c r="B20" s="1"/>
      <c r="C20" s="1"/>
      <c r="D20" s="1"/>
      <c r="E20" s="1"/>
    </row>
    <row r="22" spans="2:5" x14ac:dyDescent="0.35">
      <c r="B22" s="15"/>
      <c r="C22" s="15"/>
    </row>
    <row r="29" spans="2:5" x14ac:dyDescent="0.35">
      <c r="C2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3EDC-5DA4-4ACE-92DD-4B91F46D0C26}">
  <dimension ref="A1:E40"/>
  <sheetViews>
    <sheetView workbookViewId="0">
      <selection activeCell="E40" sqref="E40"/>
    </sheetView>
  </sheetViews>
  <sheetFormatPr defaultRowHeight="14.5" x14ac:dyDescent="0.35"/>
  <cols>
    <col min="3" max="3" width="28.7265625" bestFit="1" customWidth="1"/>
  </cols>
  <sheetData>
    <row r="1" spans="1:5" x14ac:dyDescent="0.35">
      <c r="A1" s="1" t="s">
        <v>110</v>
      </c>
      <c r="B1" s="1" t="s">
        <v>13</v>
      </c>
      <c r="C1" s="1" t="s">
        <v>74</v>
      </c>
      <c r="D1" s="1" t="s">
        <v>16</v>
      </c>
      <c r="E1" s="1" t="s">
        <v>117</v>
      </c>
    </row>
    <row r="2" spans="1:5" x14ac:dyDescent="0.35">
      <c r="A2" t="s">
        <v>75</v>
      </c>
      <c r="B2" t="s">
        <v>12</v>
      </c>
      <c r="C2" t="s">
        <v>14</v>
      </c>
      <c r="D2" t="s">
        <v>76</v>
      </c>
      <c r="E2" t="str">
        <f>_xlfn.XLOOKUP(C2,  Parquets!K$2:K$10, Parquets!J$2:J$10)</f>
        <v>wisqars_state_age_demographics.parquet</v>
      </c>
    </row>
    <row r="3" spans="1:5" x14ac:dyDescent="0.35">
      <c r="A3" t="s">
        <v>75</v>
      </c>
      <c r="B3" t="s">
        <v>12</v>
      </c>
      <c r="C3" t="s">
        <v>15</v>
      </c>
      <c r="D3" t="s">
        <v>111</v>
      </c>
      <c r="E3" t="str">
        <f>_xlfn.XLOOKUP(C3,  Parquets!K$2:K$10, Parquets!J$2:J$10)</f>
        <v>nhtsa_state_age_sex.parquet, nhtsa_county_age_sex.parquet</v>
      </c>
    </row>
    <row r="4" spans="1:5" x14ac:dyDescent="0.35">
      <c r="A4" t="s">
        <v>75</v>
      </c>
      <c r="B4" t="s">
        <v>17</v>
      </c>
      <c r="C4" t="s">
        <v>11</v>
      </c>
      <c r="D4" t="s">
        <v>77</v>
      </c>
      <c r="E4" t="str">
        <f>_xlfn.XLOOKUP(C4,  Parquets!K$2:K$10, Parquets!J$2:J$10)</f>
        <v>yrbss_state_age_demographics.parquet</v>
      </c>
    </row>
    <row r="5" spans="1:5" x14ac:dyDescent="0.35">
      <c r="A5" t="s">
        <v>75</v>
      </c>
      <c r="B5" t="s">
        <v>10</v>
      </c>
      <c r="C5" t="s">
        <v>11</v>
      </c>
      <c r="D5" t="s">
        <v>112</v>
      </c>
      <c r="E5" t="str">
        <f>_xlfn.XLOOKUP(C5,  Parquets!K$2:K$10, Parquets!J$2:J$10)</f>
        <v>yrbss_state_age_demographics.parquet</v>
      </c>
    </row>
    <row r="6" spans="1:5" x14ac:dyDescent="0.35">
      <c r="A6" t="s">
        <v>75</v>
      </c>
      <c r="B6" t="s">
        <v>18</v>
      </c>
      <c r="C6" t="s">
        <v>14</v>
      </c>
      <c r="D6" t="s">
        <v>116</v>
      </c>
      <c r="E6" t="str">
        <f>_xlfn.XLOOKUP(C6,  Parquets!K$2:K$10, Parquets!J$2:J$10)</f>
        <v>wisqars_state_age_demographics.parquet</v>
      </c>
    </row>
    <row r="7" spans="1:5" x14ac:dyDescent="0.35">
      <c r="A7" t="s">
        <v>75</v>
      </c>
      <c r="B7" t="s">
        <v>18</v>
      </c>
      <c r="C7" t="s">
        <v>78</v>
      </c>
      <c r="D7" t="s">
        <v>79</v>
      </c>
      <c r="E7" t="str">
        <f>_xlfn.XLOOKUP(C7,  Parquets!K$2:K$10, Parquets!J$2:J$10)</f>
        <v>epic_injury_state_age_year.parquet, epic_injury_state_age_month.parquet</v>
      </c>
    </row>
    <row r="8" spans="1:5" x14ac:dyDescent="0.35">
      <c r="A8" t="s">
        <v>75</v>
      </c>
      <c r="B8" t="s">
        <v>18</v>
      </c>
      <c r="C8" t="s">
        <v>11</v>
      </c>
      <c r="D8" s="8" t="s">
        <v>19</v>
      </c>
      <c r="E8" t="str">
        <f>_xlfn.XLOOKUP(C8,  Parquets!K$2:K$10, Parquets!J$2:J$10)</f>
        <v>yrbss_state_age_demographics.parquet</v>
      </c>
    </row>
    <row r="9" spans="1:5" x14ac:dyDescent="0.35">
      <c r="A9" t="s">
        <v>80</v>
      </c>
      <c r="B9" t="s">
        <v>27</v>
      </c>
      <c r="C9" t="s">
        <v>11</v>
      </c>
      <c r="D9" t="s">
        <v>81</v>
      </c>
      <c r="E9" t="str">
        <f>_xlfn.XLOOKUP(C9,  Parquets!K$2:K$10, Parquets!J$2:J$10)</f>
        <v>yrbss_state_age_demographics.parquet</v>
      </c>
    </row>
    <row r="10" spans="1:5" x14ac:dyDescent="0.35">
      <c r="A10" t="s">
        <v>80</v>
      </c>
      <c r="B10" t="s">
        <v>28</v>
      </c>
      <c r="C10" t="s">
        <v>14</v>
      </c>
      <c r="D10" t="s">
        <v>113</v>
      </c>
      <c r="E10" t="str">
        <f>_xlfn.XLOOKUP(C10,  Parquets!K$2:K$10, Parquets!J$2:J$10)</f>
        <v>wisqars_state_age_demographics.parquet</v>
      </c>
    </row>
    <row r="11" spans="1:5" x14ac:dyDescent="0.35">
      <c r="A11" t="s">
        <v>80</v>
      </c>
      <c r="B11" t="s">
        <v>28</v>
      </c>
      <c r="C11" t="s">
        <v>115</v>
      </c>
      <c r="D11" t="s">
        <v>114</v>
      </c>
      <c r="E11" t="str">
        <f>_xlfn.XLOOKUP(C11,  Parquets!K$2:K$10, Parquets!J$2:J$10)</f>
        <v>epic_injury_state_age_year.parquet, epic_injury_state_age_month.parquet</v>
      </c>
    </row>
    <row r="12" spans="1:5" x14ac:dyDescent="0.35">
      <c r="A12" t="s">
        <v>80</v>
      </c>
      <c r="B12" t="s">
        <v>83</v>
      </c>
      <c r="C12" t="s">
        <v>30</v>
      </c>
      <c r="D12" t="s">
        <v>84</v>
      </c>
      <c r="E12" t="str">
        <f>_xlfn.XLOOKUP(C12,  Parquets!K$2:K$10, Parquets!J$2:J$10)</f>
        <v>medicaid_state_payer.parquet</v>
      </c>
    </row>
    <row r="13" spans="1:5" x14ac:dyDescent="0.35">
      <c r="A13" t="s">
        <v>85</v>
      </c>
      <c r="B13" t="s">
        <v>31</v>
      </c>
      <c r="C13" t="s">
        <v>11</v>
      </c>
      <c r="D13" t="s">
        <v>86</v>
      </c>
      <c r="E13" t="str">
        <f>_xlfn.XLOOKUP(C13,  Parquets!K$2:K$10, Parquets!J$2:J$10)</f>
        <v>yrbss_state_age_demographics.parquet</v>
      </c>
    </row>
    <row r="14" spans="1:5" x14ac:dyDescent="0.35">
      <c r="A14" t="s">
        <v>85</v>
      </c>
      <c r="B14" t="s">
        <v>34</v>
      </c>
      <c r="C14" t="s">
        <v>11</v>
      </c>
      <c r="D14" t="s">
        <v>87</v>
      </c>
      <c r="E14" t="str">
        <f>_xlfn.XLOOKUP(C14,  Parquets!K$2:K$10, Parquets!J$2:J$10)</f>
        <v>yrbss_state_age_demographics.parquet</v>
      </c>
    </row>
    <row r="15" spans="1:5" x14ac:dyDescent="0.35">
      <c r="A15" t="s">
        <v>85</v>
      </c>
      <c r="B15" t="s">
        <v>88</v>
      </c>
      <c r="C15" t="s">
        <v>30</v>
      </c>
      <c r="D15" t="s">
        <v>89</v>
      </c>
      <c r="E15" t="str">
        <f>_xlfn.XLOOKUP(C15,  Parquets!K$2:K$10, Parquets!J$2:J$10)</f>
        <v>medicaid_state_payer.parquet</v>
      </c>
    </row>
    <row r="16" spans="1:5" x14ac:dyDescent="0.35">
      <c r="A16" t="s">
        <v>85</v>
      </c>
      <c r="B16" t="s">
        <v>37</v>
      </c>
      <c r="C16" t="s">
        <v>11</v>
      </c>
      <c r="D16" t="s">
        <v>90</v>
      </c>
      <c r="E16" t="str">
        <f>_xlfn.XLOOKUP(C16,  Parquets!K$2:K$10, Parquets!J$2:J$10)</f>
        <v>yrbss_state_age_demographics.parquet</v>
      </c>
    </row>
    <row r="17" spans="1:5" x14ac:dyDescent="0.35">
      <c r="A17" t="s">
        <v>85</v>
      </c>
      <c r="B17" t="s">
        <v>37</v>
      </c>
      <c r="C17" t="s">
        <v>38</v>
      </c>
      <c r="D17" t="s">
        <v>91</v>
      </c>
      <c r="E17" t="str">
        <f>_xlfn.XLOOKUP(C17,  Parquets!K$2:K$10, Parquets!J$2:J$10)</f>
        <v>chr_state.parquet, chr_county.parquet</v>
      </c>
    </row>
    <row r="18" spans="1:5" x14ac:dyDescent="0.35">
      <c r="A18" t="s">
        <v>92</v>
      </c>
      <c r="B18" t="s">
        <v>41</v>
      </c>
      <c r="C18" t="s">
        <v>82</v>
      </c>
      <c r="D18" t="s">
        <v>93</v>
      </c>
      <c r="E18" t="str">
        <f>_xlfn.XLOOKUP(C18,  Parquets!K$2:K$10, Parquets!J$2:J$10)</f>
        <v>epic_chronic_state_age.parquet, epic_chronic_county_age.parquet,</v>
      </c>
    </row>
    <row r="19" spans="1:5" x14ac:dyDescent="0.35">
      <c r="A19" t="s">
        <v>92</v>
      </c>
      <c r="B19" t="s">
        <v>43</v>
      </c>
      <c r="C19" t="s">
        <v>82</v>
      </c>
      <c r="D19" t="s">
        <v>94</v>
      </c>
      <c r="E19" t="str">
        <f>_xlfn.XLOOKUP(C19,  Parquets!K$2:K$10, Parquets!J$2:J$10)</f>
        <v>epic_chronic_state_age.parquet, epic_chronic_county_age.parquet,</v>
      </c>
    </row>
    <row r="20" spans="1:5" x14ac:dyDescent="0.35">
      <c r="A20" t="s">
        <v>92</v>
      </c>
      <c r="B20" t="s">
        <v>44</v>
      </c>
      <c r="C20" t="s">
        <v>30</v>
      </c>
      <c r="D20" t="s">
        <v>95</v>
      </c>
      <c r="E20" t="str">
        <f>_xlfn.XLOOKUP(C20,  Parquets!K$2:K$10, Parquets!J$2:J$10)</f>
        <v>medicaid_state_payer.parquet</v>
      </c>
    </row>
    <row r="21" spans="1:5" x14ac:dyDescent="0.35">
      <c r="A21" t="s">
        <v>92</v>
      </c>
      <c r="B21" t="s">
        <v>45</v>
      </c>
      <c r="C21" t="s">
        <v>30</v>
      </c>
      <c r="D21" t="s">
        <v>96</v>
      </c>
      <c r="E21" t="str">
        <f>_xlfn.XLOOKUP(C21,  Parquets!K$2:K$10, Parquets!J$2:J$10)</f>
        <v>medicaid_state_payer.parquet</v>
      </c>
    </row>
    <row r="22" spans="1:5" x14ac:dyDescent="0.35">
      <c r="A22" t="s">
        <v>92</v>
      </c>
      <c r="B22" t="s">
        <v>45</v>
      </c>
      <c r="C22" t="s">
        <v>38</v>
      </c>
      <c r="D22" t="s">
        <v>97</v>
      </c>
      <c r="E22" t="str">
        <f>_xlfn.XLOOKUP(C22,  Parquets!K$2:K$10, Parquets!J$2:J$10)</f>
        <v>chr_state.parquet, chr_county.parquet</v>
      </c>
    </row>
    <row r="23" spans="1:5" x14ac:dyDescent="0.35">
      <c r="A23" t="s">
        <v>92</v>
      </c>
      <c r="B23" t="s">
        <v>47</v>
      </c>
      <c r="C23" t="s">
        <v>78</v>
      </c>
      <c r="D23" t="s">
        <v>98</v>
      </c>
      <c r="E23" t="str">
        <f>_xlfn.XLOOKUP(C23,  Parquets!K$2:K$10, Parquets!J$2:J$10)</f>
        <v>epic_injury_state_age_year.parquet, epic_injury_state_age_month.parquet</v>
      </c>
    </row>
    <row r="24" spans="1:5" x14ac:dyDescent="0.35">
      <c r="A24" t="s">
        <v>92</v>
      </c>
      <c r="B24" t="s">
        <v>47</v>
      </c>
      <c r="C24" t="s">
        <v>38</v>
      </c>
      <c r="D24" t="s">
        <v>50</v>
      </c>
      <c r="E24" t="str">
        <f>_xlfn.XLOOKUP(C24,  Parquets!K$2:K$10, Parquets!J$2:J$10)</f>
        <v>chr_state.parquet, chr_county.parquet</v>
      </c>
    </row>
    <row r="25" spans="1:5" x14ac:dyDescent="0.35">
      <c r="A25" t="s">
        <v>92</v>
      </c>
      <c r="B25" t="s">
        <v>47</v>
      </c>
      <c r="C25" t="s">
        <v>51</v>
      </c>
      <c r="D25" t="s">
        <v>99</v>
      </c>
      <c r="E25" t="str">
        <f>_xlfn.XLOOKUP(C25,  Parquets!K$2:K$10, Parquets!J$2:J$10)</f>
        <v>noaa_heat_risk_state.parquet, noaa_heat_risk_county.parquet</v>
      </c>
    </row>
    <row r="26" spans="1:5" x14ac:dyDescent="0.35">
      <c r="A26" t="s">
        <v>100</v>
      </c>
      <c r="B26" t="s">
        <v>65</v>
      </c>
      <c r="C26" t="s">
        <v>38</v>
      </c>
      <c r="D26" t="s">
        <v>101</v>
      </c>
      <c r="E26" t="str">
        <f>_xlfn.XLOOKUP(C26,  Parquets!K$2:K$10, Parquets!J$2:J$10)</f>
        <v>chr_state.parquet, chr_county.parquet</v>
      </c>
    </row>
    <row r="27" spans="1:5" x14ac:dyDescent="0.35">
      <c r="A27" t="s">
        <v>100</v>
      </c>
      <c r="B27" t="s">
        <v>65</v>
      </c>
      <c r="C27" t="s">
        <v>30</v>
      </c>
      <c r="D27" t="s">
        <v>102</v>
      </c>
      <c r="E27" t="str">
        <f>_xlfn.XLOOKUP(C27,  Parquets!K$2:K$10, Parquets!J$2:J$10)</f>
        <v>medicaid_state_payer.parquet</v>
      </c>
    </row>
    <row r="28" spans="1:5" x14ac:dyDescent="0.35">
      <c r="A28" t="s">
        <v>100</v>
      </c>
      <c r="B28" t="s">
        <v>66</v>
      </c>
      <c r="C28" t="s">
        <v>30</v>
      </c>
      <c r="D28" t="s">
        <v>103</v>
      </c>
      <c r="E28" t="str">
        <f>_xlfn.XLOOKUP(C28,  Parquets!K$2:K$10, Parquets!J$2:J$10)</f>
        <v>medicaid_state_payer.parquet</v>
      </c>
    </row>
    <row r="29" spans="1:5" x14ac:dyDescent="0.35">
      <c r="A29" t="s">
        <v>100</v>
      </c>
      <c r="B29" t="s">
        <v>67</v>
      </c>
      <c r="C29" t="s">
        <v>30</v>
      </c>
      <c r="D29" t="s">
        <v>104</v>
      </c>
      <c r="E29" t="str">
        <f>_xlfn.XLOOKUP(C29,  Parquets!K$2:K$10, Parquets!J$2:J$10)</f>
        <v>medicaid_state_payer.parquet</v>
      </c>
    </row>
    <row r="30" spans="1:5" x14ac:dyDescent="0.35">
      <c r="A30" t="s">
        <v>100</v>
      </c>
      <c r="B30" t="s">
        <v>68</v>
      </c>
      <c r="C30" t="s">
        <v>105</v>
      </c>
      <c r="E30" t="str">
        <f>_xlfn.XLOOKUP(C30,  Parquets!K$2:K$10, Parquets!J$2:J$10)</f>
        <v>immunizations_state_age_vaccine.parquet</v>
      </c>
    </row>
    <row r="31" spans="1:5" x14ac:dyDescent="0.35">
      <c r="A31" t="s">
        <v>100</v>
      </c>
      <c r="B31" t="s">
        <v>70</v>
      </c>
      <c r="C31" t="s">
        <v>11</v>
      </c>
      <c r="D31" t="s">
        <v>106</v>
      </c>
      <c r="E31" t="str">
        <f>_xlfn.XLOOKUP(C31,  Parquets!K$2:K$10, Parquets!J$2:J$10)</f>
        <v>yrbss_state_age_demographics.parquet</v>
      </c>
    </row>
    <row r="32" spans="1:5" x14ac:dyDescent="0.35">
      <c r="A32" t="s">
        <v>100</v>
      </c>
      <c r="B32" t="s">
        <v>71</v>
      </c>
      <c r="C32" t="s">
        <v>11</v>
      </c>
      <c r="D32" t="s">
        <v>72</v>
      </c>
      <c r="E32" t="str">
        <f>_xlfn.XLOOKUP(C32,  Parquets!K$2:K$10, Parquets!J$2:J$10)</f>
        <v>yrbss_state_age_demographics.parquet</v>
      </c>
    </row>
    <row r="33" spans="1:5" x14ac:dyDescent="0.35">
      <c r="A33" t="s">
        <v>100</v>
      </c>
      <c r="B33" t="s">
        <v>71</v>
      </c>
      <c r="C33" t="s">
        <v>30</v>
      </c>
      <c r="D33" t="s">
        <v>107</v>
      </c>
      <c r="E33" t="str">
        <f>_xlfn.XLOOKUP(C33,  Parquets!K$2:K$10, Parquets!J$2:J$10)</f>
        <v>medicaid_state_payer.parquet</v>
      </c>
    </row>
    <row r="34" spans="1:5" x14ac:dyDescent="0.35">
      <c r="A34" t="s">
        <v>100</v>
      </c>
      <c r="B34" t="s">
        <v>71</v>
      </c>
      <c r="C34" t="s">
        <v>38</v>
      </c>
      <c r="D34" t="s">
        <v>108</v>
      </c>
      <c r="E34" t="str">
        <f>_xlfn.XLOOKUP(C34,  Parquets!K$2:K$10, Parquets!J$2:J$10)</f>
        <v>chr_state.parquet, chr_county.parquet</v>
      </c>
    </row>
    <row r="35" spans="1:5" x14ac:dyDescent="0.35">
      <c r="A35" t="s">
        <v>109</v>
      </c>
      <c r="B35" t="s">
        <v>53</v>
      </c>
      <c r="C35" t="s">
        <v>38</v>
      </c>
      <c r="D35" t="s">
        <v>55</v>
      </c>
      <c r="E35" t="str">
        <f>_xlfn.XLOOKUP(C35,  Parquets!K$2:K$10, Parquets!J$2:J$10)</f>
        <v>chr_state.parquet, chr_county.parquet</v>
      </c>
    </row>
    <row r="36" spans="1:5" x14ac:dyDescent="0.35">
      <c r="A36" t="s">
        <v>109</v>
      </c>
      <c r="B36" t="s">
        <v>54</v>
      </c>
      <c r="C36" t="s">
        <v>38</v>
      </c>
      <c r="D36" t="s">
        <v>56</v>
      </c>
      <c r="E36" t="str">
        <f>_xlfn.XLOOKUP(C36,  Parquets!K$2:K$10, Parquets!J$2:J$10)</f>
        <v>chr_state.parquet, chr_county.parquet</v>
      </c>
    </row>
    <row r="37" spans="1:5" x14ac:dyDescent="0.35">
      <c r="A37" t="s">
        <v>109</v>
      </c>
      <c r="B37" t="s">
        <v>57</v>
      </c>
      <c r="C37" t="s">
        <v>38</v>
      </c>
      <c r="D37" t="s">
        <v>60</v>
      </c>
      <c r="E37" t="str">
        <f>_xlfn.XLOOKUP(C37,  Parquets!K$2:K$10, Parquets!J$2:J$10)</f>
        <v>chr_state.parquet, chr_county.parquet</v>
      </c>
    </row>
    <row r="38" spans="1:5" x14ac:dyDescent="0.35">
      <c r="A38" t="s">
        <v>109</v>
      </c>
      <c r="B38" t="s">
        <v>59</v>
      </c>
      <c r="C38" t="s">
        <v>38</v>
      </c>
      <c r="D38" t="s">
        <v>61</v>
      </c>
      <c r="E38" t="str">
        <f>_xlfn.XLOOKUP(C38,  Parquets!K$2:K$10, Parquets!J$2:J$10)</f>
        <v>chr_state.parquet, chr_county.parquet</v>
      </c>
    </row>
    <row r="39" spans="1:5" x14ac:dyDescent="0.35">
      <c r="A39" t="s">
        <v>109</v>
      </c>
      <c r="B39" t="s">
        <v>58</v>
      </c>
      <c r="C39" t="s">
        <v>38</v>
      </c>
      <c r="D39" t="s">
        <v>63</v>
      </c>
      <c r="E39" t="str">
        <f>_xlfn.XLOOKUP(C39,  Parquets!K$2:K$10, Parquets!J$2:J$10)</f>
        <v>chr_state.parquet, chr_county.parquet</v>
      </c>
    </row>
    <row r="40" spans="1:5" x14ac:dyDescent="0.35">
      <c r="A40" t="s">
        <v>109</v>
      </c>
      <c r="B40" t="s">
        <v>62</v>
      </c>
      <c r="C40" t="s">
        <v>38</v>
      </c>
      <c r="D40" t="s">
        <v>64</v>
      </c>
      <c r="E40" t="str">
        <f>_xlfn.XLOOKUP(C40,  Parquets!K$2:K$10, Parquets!J$2:J$10)</f>
        <v>chr_state.parquet, chr_county.parquet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5C8D-0929-49FA-B9A8-9491F7127DE8}">
  <dimension ref="A1:H4"/>
  <sheetViews>
    <sheetView workbookViewId="0">
      <selection activeCell="A5" sqref="A5"/>
    </sheetView>
  </sheetViews>
  <sheetFormatPr defaultRowHeight="14.5" x14ac:dyDescent="0.35"/>
  <cols>
    <col min="1" max="1" width="19.7265625" style="2" bestFit="1" customWidth="1"/>
    <col min="2" max="2" width="13.6328125" bestFit="1" customWidth="1"/>
    <col min="3" max="3" width="29.7265625" style="2" customWidth="1"/>
    <col min="4" max="4" width="20.81640625" customWidth="1"/>
    <col min="5" max="5" width="30" style="2" customWidth="1"/>
    <col min="7" max="7" width="13.36328125" bestFit="1" customWidth="1"/>
    <col min="8" max="8" width="13.453125" customWidth="1"/>
  </cols>
  <sheetData>
    <row r="1" spans="1:8" ht="29" x14ac:dyDescent="0.35">
      <c r="A1" s="6" t="s">
        <v>13</v>
      </c>
      <c r="B1" s="7" t="s">
        <v>0</v>
      </c>
      <c r="C1" s="6" t="s">
        <v>3</v>
      </c>
      <c r="D1" s="6" t="s">
        <v>20</v>
      </c>
      <c r="E1" s="6" t="s">
        <v>23</v>
      </c>
      <c r="F1" s="6" t="s">
        <v>16</v>
      </c>
      <c r="G1" s="7" t="s">
        <v>1</v>
      </c>
      <c r="H1" s="6" t="s">
        <v>5</v>
      </c>
    </row>
    <row r="2" spans="1:8" ht="43.5" x14ac:dyDescent="0.35">
      <c r="A2" s="4" t="s">
        <v>4</v>
      </c>
      <c r="B2" t="s">
        <v>2</v>
      </c>
      <c r="C2" s="2" t="s">
        <v>6</v>
      </c>
      <c r="D2" s="2" t="s">
        <v>24</v>
      </c>
      <c r="E2" s="2" t="s">
        <v>25</v>
      </c>
    </row>
    <row r="3" spans="1:8" ht="58" x14ac:dyDescent="0.35">
      <c r="A3" s="4" t="s">
        <v>7</v>
      </c>
      <c r="B3" t="s">
        <v>8</v>
      </c>
      <c r="C3" s="2" t="s">
        <v>9</v>
      </c>
      <c r="E3" s="2" t="s">
        <v>26</v>
      </c>
    </row>
    <row r="4" spans="1:8" ht="43.5" x14ac:dyDescent="0.35">
      <c r="B4" t="s">
        <v>38</v>
      </c>
      <c r="C4" s="2" t="s">
        <v>48</v>
      </c>
      <c r="D4" t="s">
        <v>39</v>
      </c>
      <c r="H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388D-BF97-4F13-BBE9-E6D3B77ECA09}">
  <dimension ref="A1:G9"/>
  <sheetViews>
    <sheetView workbookViewId="0">
      <selection activeCell="F2" sqref="F2"/>
    </sheetView>
  </sheetViews>
  <sheetFormatPr defaultRowHeight="14.5" x14ac:dyDescent="0.35"/>
  <cols>
    <col min="1" max="1" width="19.7265625" style="5" bestFit="1" customWidth="1"/>
    <col min="2" max="2" width="13.6328125" style="8" bestFit="1" customWidth="1"/>
    <col min="3" max="3" width="20.453125" style="5" bestFit="1" customWidth="1"/>
    <col min="4" max="4" width="24.54296875" style="5" bestFit="1" customWidth="1"/>
    <col min="5" max="5" width="29.7265625" style="5" customWidth="1"/>
    <col min="6" max="6" width="20.81640625" style="8" customWidth="1"/>
    <col min="7" max="7" width="30" style="5" customWidth="1"/>
    <col min="8" max="16384" width="8.7265625" style="8"/>
  </cols>
  <sheetData>
    <row r="1" spans="1:7" ht="29" x14ac:dyDescent="0.35">
      <c r="A1" s="6" t="s">
        <v>13</v>
      </c>
      <c r="B1" s="7" t="s">
        <v>0</v>
      </c>
      <c r="C1" s="6" t="s">
        <v>20</v>
      </c>
      <c r="D1" s="6" t="s">
        <v>23</v>
      </c>
      <c r="E1" s="6" t="s">
        <v>16</v>
      </c>
      <c r="F1" s="7" t="s">
        <v>1</v>
      </c>
      <c r="G1" s="6" t="s">
        <v>5</v>
      </c>
    </row>
    <row r="2" spans="1:7" x14ac:dyDescent="0.35">
      <c r="A2" s="11" t="s">
        <v>12</v>
      </c>
      <c r="B2" s="8" t="s">
        <v>14</v>
      </c>
      <c r="C2" s="5" t="s">
        <v>21</v>
      </c>
      <c r="D2" s="5" t="s">
        <v>22</v>
      </c>
      <c r="E2" t="s">
        <v>76</v>
      </c>
      <c r="F2" t="str">
        <f>_xlfn.XLOOKUP(B2,  Parquets!K$2:K$10, Parquets!J$2:J$10)</f>
        <v>wisqars_state_age_demographics.parquet</v>
      </c>
    </row>
    <row r="3" spans="1:7" ht="29" customHeight="1" x14ac:dyDescent="0.35">
      <c r="A3" s="11"/>
      <c r="B3" s="8" t="s">
        <v>15</v>
      </c>
      <c r="C3" s="5" t="s">
        <v>21</v>
      </c>
      <c r="D3" s="2" t="s">
        <v>73</v>
      </c>
      <c r="E3" t="s">
        <v>111</v>
      </c>
      <c r="F3" t="str">
        <f>_xlfn.XLOOKUP(B3,  Parquets!K$2:K$10, Parquets!J$2:J$10)</f>
        <v>nhtsa_state_age_sex.parquet, nhtsa_county_age_sex.parquet</v>
      </c>
    </row>
    <row r="4" spans="1:7" x14ac:dyDescent="0.35">
      <c r="A4" s="9" t="s">
        <v>17</v>
      </c>
      <c r="B4" s="8" t="s">
        <v>11</v>
      </c>
      <c r="C4" s="2" t="s">
        <v>21</v>
      </c>
      <c r="D4" s="2" t="s">
        <v>22</v>
      </c>
      <c r="E4" t="s">
        <v>77</v>
      </c>
      <c r="F4" t="str">
        <f>_xlfn.XLOOKUP(B4,  Parquets!K$2:K$10, Parquets!J$2:J$10)</f>
        <v>yrbss_state_age_demographics.parquet</v>
      </c>
    </row>
    <row r="5" spans="1:7" x14ac:dyDescent="0.35">
      <c r="A5" s="11" t="s">
        <v>10</v>
      </c>
      <c r="B5" s="8" t="s">
        <v>11</v>
      </c>
      <c r="C5" s="2" t="s">
        <v>21</v>
      </c>
      <c r="D5" s="2" t="s">
        <v>22</v>
      </c>
      <c r="E5" t="s">
        <v>112</v>
      </c>
      <c r="F5" t="str">
        <f>_xlfn.XLOOKUP(B5,  Parquets!K$2:K$10, Parquets!J$2:J$10)</f>
        <v>yrbss_state_age_demographics.parquet</v>
      </c>
    </row>
    <row r="6" spans="1:7" x14ac:dyDescent="0.35">
      <c r="A6" s="11"/>
      <c r="B6" s="10" t="s">
        <v>8</v>
      </c>
      <c r="C6" s="2" t="s">
        <v>21</v>
      </c>
      <c r="D6" s="4"/>
      <c r="F6"/>
    </row>
    <row r="7" spans="1:7" x14ac:dyDescent="0.35">
      <c r="A7" s="11" t="s">
        <v>18</v>
      </c>
      <c r="B7" s="8" t="s">
        <v>14</v>
      </c>
      <c r="C7" s="2" t="s">
        <v>21</v>
      </c>
      <c r="D7" s="2" t="s">
        <v>22</v>
      </c>
      <c r="E7" t="s">
        <v>116</v>
      </c>
      <c r="F7" t="str">
        <f>_xlfn.XLOOKUP(B7,  Parquets!K$2:K$10, Parquets!J$2:J$10)</f>
        <v>wisqars_state_age_demographics.parquet</v>
      </c>
    </row>
    <row r="8" spans="1:7" x14ac:dyDescent="0.35">
      <c r="A8" s="11"/>
      <c r="B8" t="s">
        <v>78</v>
      </c>
      <c r="C8" s="5" t="s">
        <v>21</v>
      </c>
      <c r="E8" t="s">
        <v>79</v>
      </c>
      <c r="F8" t="str">
        <f>_xlfn.XLOOKUP(B8,  Parquets!K$2:K$10, Parquets!J$2:J$10)</f>
        <v>epic_injury_state_age_year.parquet, epic_injury_state_age_month.parquet</v>
      </c>
    </row>
    <row r="9" spans="1:7" x14ac:dyDescent="0.35">
      <c r="A9" s="11"/>
      <c r="B9" s="8" t="s">
        <v>11</v>
      </c>
      <c r="C9" s="2" t="s">
        <v>21</v>
      </c>
      <c r="D9" s="2" t="s">
        <v>22</v>
      </c>
      <c r="E9" s="8" t="s">
        <v>19</v>
      </c>
      <c r="F9" t="str">
        <f>_xlfn.XLOOKUP(B9,  Parquets!K$2:K$10, Parquets!J$2:J$10)</f>
        <v>yrbss_state_age_demographics.parquet</v>
      </c>
    </row>
  </sheetData>
  <mergeCells count="3">
    <mergeCell ref="A2:A3"/>
    <mergeCell ref="A5:A6"/>
    <mergeCell ref="A7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9566-D23B-4DA0-A273-34DC04562D58}">
  <dimension ref="A1:G5"/>
  <sheetViews>
    <sheetView workbookViewId="0">
      <selection activeCell="F4" sqref="F4"/>
    </sheetView>
  </sheetViews>
  <sheetFormatPr defaultRowHeight="14.5" x14ac:dyDescent="0.35"/>
  <cols>
    <col min="1" max="1" width="19.7265625" style="2" bestFit="1" customWidth="1"/>
    <col min="2" max="2" width="15.54296875" bestFit="1" customWidth="1"/>
    <col min="3" max="3" width="20.81640625" customWidth="1"/>
    <col min="4" max="4" width="30" style="2" customWidth="1"/>
    <col min="6" max="6" width="13.36328125" bestFit="1" customWidth="1"/>
  </cols>
  <sheetData>
    <row r="1" spans="1:7" s="8" customFormat="1" ht="29" x14ac:dyDescent="0.35">
      <c r="A1" s="6" t="s">
        <v>13</v>
      </c>
      <c r="B1" s="7" t="s">
        <v>0</v>
      </c>
      <c r="C1" s="6" t="s">
        <v>20</v>
      </c>
      <c r="D1" s="6" t="s">
        <v>23</v>
      </c>
      <c r="E1" s="6" t="s">
        <v>16</v>
      </c>
      <c r="F1" s="7" t="s">
        <v>1</v>
      </c>
      <c r="G1" s="6" t="s">
        <v>5</v>
      </c>
    </row>
    <row r="2" spans="1:7" x14ac:dyDescent="0.35">
      <c r="A2" s="2" t="s">
        <v>27</v>
      </c>
      <c r="B2" t="s">
        <v>11</v>
      </c>
      <c r="C2" t="s">
        <v>21</v>
      </c>
      <c r="D2" s="2" t="s">
        <v>22</v>
      </c>
      <c r="E2" t="s">
        <v>81</v>
      </c>
      <c r="F2" t="str">
        <f>_xlfn.XLOOKUP(B2,  Parquets!K$2:K$10, Parquets!J$2:J$10)</f>
        <v>yrbss_state_age_demographics.parquet</v>
      </c>
    </row>
    <row r="3" spans="1:7" x14ac:dyDescent="0.35">
      <c r="A3" s="12" t="s">
        <v>28</v>
      </c>
      <c r="B3" s="8" t="s">
        <v>14</v>
      </c>
      <c r="C3" s="2" t="s">
        <v>21</v>
      </c>
      <c r="D3" s="2" t="s">
        <v>22</v>
      </c>
      <c r="E3" t="s">
        <v>113</v>
      </c>
      <c r="F3" t="str">
        <f>_xlfn.XLOOKUP(B3,  Parquets!K$2:K$10, Parquets!J$2:J$10)</f>
        <v>wisqars_state_age_demographics.parquet</v>
      </c>
    </row>
    <row r="4" spans="1:7" x14ac:dyDescent="0.35">
      <c r="A4" s="12"/>
      <c r="B4" s="8" t="s">
        <v>78</v>
      </c>
      <c r="C4" s="5" t="s">
        <v>21</v>
      </c>
      <c r="D4" s="5"/>
      <c r="E4" t="s">
        <v>114</v>
      </c>
      <c r="F4" t="str">
        <f>_xlfn.XLOOKUP(B4,  Parquets!K$2:K$10, Parquets!J$2:J$10)</f>
        <v>epic_injury_state_age_year.parquet, epic_injury_state_age_month.parquet</v>
      </c>
    </row>
    <row r="5" spans="1:7" ht="43.5" x14ac:dyDescent="0.35">
      <c r="A5" s="2" t="s">
        <v>29</v>
      </c>
      <c r="B5" t="s">
        <v>30</v>
      </c>
      <c r="C5" t="s">
        <v>21</v>
      </c>
      <c r="D5" s="2" t="s">
        <v>22</v>
      </c>
      <c r="E5" t="s">
        <v>84</v>
      </c>
      <c r="F5" t="str">
        <f>_xlfn.XLOOKUP(B5,  Parquets!K$2:K$10, Parquets!J$2:J$10)</f>
        <v>medicaid_state_payer.parquet</v>
      </c>
    </row>
  </sheetData>
  <mergeCells count="1"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2928E-C69B-466C-A709-97E9FA6318ED}">
  <dimension ref="A1:G9"/>
  <sheetViews>
    <sheetView workbookViewId="0">
      <selection activeCell="F9" sqref="F9"/>
    </sheetView>
  </sheetViews>
  <sheetFormatPr defaultRowHeight="14.5" x14ac:dyDescent="0.35"/>
  <cols>
    <col min="1" max="1" width="19.7265625" style="2" bestFit="1" customWidth="1"/>
    <col min="2" max="2" width="15.54296875" bestFit="1" customWidth="1"/>
    <col min="3" max="3" width="20.81640625" customWidth="1"/>
    <col min="4" max="4" width="30" style="2" customWidth="1"/>
    <col min="6" max="6" width="13.36328125" bestFit="1" customWidth="1"/>
    <col min="7" max="7" width="18" customWidth="1"/>
  </cols>
  <sheetData>
    <row r="1" spans="1:7" ht="29" x14ac:dyDescent="0.35">
      <c r="A1" s="3" t="s">
        <v>13</v>
      </c>
      <c r="B1" s="1" t="s">
        <v>0</v>
      </c>
      <c r="C1" s="3" t="s">
        <v>20</v>
      </c>
      <c r="D1" s="3" t="s">
        <v>23</v>
      </c>
      <c r="E1" s="3" t="s">
        <v>16</v>
      </c>
      <c r="F1" s="1" t="s">
        <v>1</v>
      </c>
      <c r="G1" s="3" t="s">
        <v>5</v>
      </c>
    </row>
    <row r="2" spans="1:7" x14ac:dyDescent="0.35">
      <c r="A2" s="12" t="s">
        <v>31</v>
      </c>
      <c r="B2" t="s">
        <v>11</v>
      </c>
      <c r="C2" t="s">
        <v>21</v>
      </c>
      <c r="D2" s="2" t="s">
        <v>22</v>
      </c>
      <c r="E2" t="s">
        <v>86</v>
      </c>
      <c r="F2" t="str">
        <f>_xlfn.XLOOKUP(B2,  Parquets!K$2:K$10, Parquets!J$2:J$10)</f>
        <v>yrbss_state_age_demographics.parquet</v>
      </c>
    </row>
    <row r="3" spans="1:7" x14ac:dyDescent="0.35">
      <c r="A3" s="12"/>
      <c r="B3" s="10" t="s">
        <v>32</v>
      </c>
    </row>
    <row r="4" spans="1:7" x14ac:dyDescent="0.35">
      <c r="A4" s="2" t="s">
        <v>33</v>
      </c>
      <c r="B4" s="10" t="s">
        <v>32</v>
      </c>
    </row>
    <row r="5" spans="1:7" x14ac:dyDescent="0.35">
      <c r="A5" s="2" t="s">
        <v>34</v>
      </c>
      <c r="B5" t="s">
        <v>11</v>
      </c>
      <c r="C5" t="s">
        <v>21</v>
      </c>
      <c r="D5" s="2" t="s">
        <v>22</v>
      </c>
      <c r="E5" t="s">
        <v>87</v>
      </c>
      <c r="F5" t="str">
        <f>_xlfn.XLOOKUP(B5,  Parquets!K$2:K$10, Parquets!J$2:J$10)</f>
        <v>yrbss_state_age_demographics.parquet</v>
      </c>
    </row>
    <row r="6" spans="1:7" x14ac:dyDescent="0.35">
      <c r="A6" s="12" t="s">
        <v>35</v>
      </c>
      <c r="B6" t="s">
        <v>30</v>
      </c>
      <c r="C6" t="s">
        <v>21</v>
      </c>
      <c r="D6" s="2" t="s">
        <v>22</v>
      </c>
      <c r="E6" t="s">
        <v>89</v>
      </c>
      <c r="F6" t="str">
        <f>_xlfn.XLOOKUP(B6,  Parquets!K$2:K$10, Parquets!J$2:J$10)</f>
        <v>medicaid_state_payer.parquet</v>
      </c>
    </row>
    <row r="7" spans="1:7" x14ac:dyDescent="0.35">
      <c r="A7" s="12"/>
      <c r="B7" s="10" t="s">
        <v>8</v>
      </c>
      <c r="E7" s="13" t="s">
        <v>36</v>
      </c>
    </row>
    <row r="8" spans="1:7" x14ac:dyDescent="0.35">
      <c r="A8" s="12" t="s">
        <v>37</v>
      </c>
      <c r="B8" t="s">
        <v>11</v>
      </c>
      <c r="C8" t="s">
        <v>21</v>
      </c>
      <c r="D8" s="2" t="s">
        <v>22</v>
      </c>
      <c r="E8" t="s">
        <v>90</v>
      </c>
      <c r="F8" t="str">
        <f>_xlfn.XLOOKUP(B8,  Parquets!K$2:K$10, Parquets!J$2:J$10)</f>
        <v>yrbss_state_age_demographics.parquet</v>
      </c>
    </row>
    <row r="9" spans="1:7" ht="29" x14ac:dyDescent="0.35">
      <c r="A9" s="12"/>
      <c r="B9" t="s">
        <v>38</v>
      </c>
      <c r="C9" t="s">
        <v>39</v>
      </c>
      <c r="E9" t="s">
        <v>91</v>
      </c>
      <c r="F9" t="str">
        <f>_xlfn.XLOOKUP(B9,  Parquets!K$2:K$10, Parquets!J$2:J$10)</f>
        <v>chr_state.parquet, chr_county.parquet</v>
      </c>
      <c r="G9" s="2" t="s">
        <v>40</v>
      </c>
    </row>
  </sheetData>
  <mergeCells count="3">
    <mergeCell ref="A2:A3"/>
    <mergeCell ref="A6:A7"/>
    <mergeCell ref="A8:A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FC20-1717-4644-9830-33B32F7C84FA}">
  <dimension ref="A1:K9"/>
  <sheetViews>
    <sheetView workbookViewId="0">
      <selection activeCell="F2" sqref="F2"/>
    </sheetView>
  </sheetViews>
  <sheetFormatPr defaultRowHeight="14.5" x14ac:dyDescent="0.35"/>
  <cols>
    <col min="1" max="1" width="19.7265625" style="2" bestFit="1" customWidth="1"/>
    <col min="2" max="2" width="15.08984375" bestFit="1" customWidth="1"/>
    <col min="3" max="3" width="22.36328125" style="2" bestFit="1" customWidth="1"/>
    <col min="4" max="4" width="30" style="2" customWidth="1"/>
    <col min="6" max="6" width="13.36328125" bestFit="1" customWidth="1"/>
  </cols>
  <sheetData>
    <row r="1" spans="1:11" ht="29" x14ac:dyDescent="0.35">
      <c r="A1" s="3" t="s">
        <v>13</v>
      </c>
      <c r="B1" s="1" t="s">
        <v>0</v>
      </c>
      <c r="C1" s="3" t="s">
        <v>20</v>
      </c>
      <c r="D1" s="3" t="s">
        <v>23</v>
      </c>
      <c r="E1" s="3" t="s">
        <v>16</v>
      </c>
      <c r="F1" s="1" t="s">
        <v>1</v>
      </c>
      <c r="G1" s="3" t="s">
        <v>5</v>
      </c>
    </row>
    <row r="2" spans="1:11" ht="29" x14ac:dyDescent="0.35">
      <c r="A2" s="2" t="s">
        <v>41</v>
      </c>
      <c r="B2" t="s">
        <v>82</v>
      </c>
      <c r="C2" s="2" t="s">
        <v>42</v>
      </c>
      <c r="E2" t="s">
        <v>93</v>
      </c>
      <c r="F2" t="str">
        <f>_xlfn.XLOOKUP(B2,  Parquets!K$2:K$10, Parquets!J$2:J$10)</f>
        <v>epic_chronic_state_age.parquet, epic_chronic_county_age.parquet,</v>
      </c>
    </row>
    <row r="3" spans="1:11" ht="29" x14ac:dyDescent="0.35">
      <c r="A3" s="2" t="s">
        <v>43</v>
      </c>
      <c r="B3" t="s">
        <v>82</v>
      </c>
      <c r="C3" s="2" t="s">
        <v>42</v>
      </c>
      <c r="E3" t="s">
        <v>94</v>
      </c>
      <c r="F3" t="str">
        <f>_xlfn.XLOOKUP(B3,  Parquets!K$2:K$10, Parquets!J$2:J$10)</f>
        <v>epic_chronic_state_age.parquet, epic_chronic_county_age.parquet,</v>
      </c>
    </row>
    <row r="4" spans="1:11" x14ac:dyDescent="0.35">
      <c r="A4" s="2" t="s">
        <v>44</v>
      </c>
      <c r="B4" t="s">
        <v>30</v>
      </c>
      <c r="D4" s="2" t="s">
        <v>22</v>
      </c>
      <c r="E4" t="s">
        <v>95</v>
      </c>
      <c r="F4" t="str">
        <f>_xlfn.XLOOKUP(B4,  Parquets!K$2:K$10, Parquets!J$2:J$10)</f>
        <v>medicaid_state_payer.parquet</v>
      </c>
    </row>
    <row r="5" spans="1:11" x14ac:dyDescent="0.35">
      <c r="A5" s="12" t="s">
        <v>45</v>
      </c>
      <c r="B5" t="s">
        <v>30</v>
      </c>
      <c r="D5" s="2" t="s">
        <v>22</v>
      </c>
      <c r="E5" t="s">
        <v>96</v>
      </c>
      <c r="F5" t="str">
        <f>_xlfn.XLOOKUP(B5,  Parquets!K$2:K$10, Parquets!J$2:J$10)</f>
        <v>medicaid_state_payer.parquet</v>
      </c>
    </row>
    <row r="6" spans="1:11" x14ac:dyDescent="0.35">
      <c r="A6" s="12"/>
      <c r="B6" t="s">
        <v>38</v>
      </c>
      <c r="E6" t="s">
        <v>97</v>
      </c>
      <c r="F6" t="str">
        <f>_xlfn.XLOOKUP(B6,  Parquets!K$2:K$10, Parquets!J$2:J$10)</f>
        <v>chr_state.parquet, chr_county.parquet</v>
      </c>
      <c r="G6" t="s">
        <v>46</v>
      </c>
    </row>
    <row r="7" spans="1:11" ht="29" x14ac:dyDescent="0.35">
      <c r="A7" s="12" t="s">
        <v>47</v>
      </c>
      <c r="B7" t="s">
        <v>78</v>
      </c>
      <c r="C7" s="2" t="s">
        <v>42</v>
      </c>
      <c r="E7" t="s">
        <v>98</v>
      </c>
      <c r="F7" t="str">
        <f>_xlfn.XLOOKUP(B7,  Parquets!K$2:K$10, Parquets!J$2:J$10)</f>
        <v>epic_injury_state_age_year.parquet, epic_injury_state_age_month.parquet</v>
      </c>
    </row>
    <row r="8" spans="1:11" x14ac:dyDescent="0.35">
      <c r="A8" s="12"/>
      <c r="B8" t="s">
        <v>38</v>
      </c>
      <c r="C8" s="2" t="s">
        <v>39</v>
      </c>
      <c r="E8" t="s">
        <v>50</v>
      </c>
      <c r="F8" t="str">
        <f>_xlfn.XLOOKUP(B8,  Parquets!K$2:K$10, Parquets!J$2:J$10)</f>
        <v>chr_state.parquet, chr_county.parquet</v>
      </c>
      <c r="G8" t="s">
        <v>46</v>
      </c>
      <c r="K8" t="s">
        <v>52</v>
      </c>
    </row>
    <row r="9" spans="1:11" x14ac:dyDescent="0.35">
      <c r="A9" s="12"/>
      <c r="B9" t="s">
        <v>51</v>
      </c>
      <c r="C9" s="2" t="s">
        <v>39</v>
      </c>
      <c r="E9" t="s">
        <v>99</v>
      </c>
      <c r="F9" t="str">
        <f>_xlfn.XLOOKUP(B9,  Parquets!K$2:K$10, Parquets!J$2:J$10)</f>
        <v>noaa_heat_risk_state.parquet, noaa_heat_risk_county.parquet</v>
      </c>
      <c r="G9" t="s">
        <v>46</v>
      </c>
    </row>
  </sheetData>
  <mergeCells count="2">
    <mergeCell ref="A5:A6"/>
    <mergeCell ref="A7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C373-2DFB-4497-AF2E-54814BAC44EB}">
  <dimension ref="A1:G10"/>
  <sheetViews>
    <sheetView workbookViewId="0">
      <selection activeCell="F8" sqref="F8"/>
    </sheetView>
  </sheetViews>
  <sheetFormatPr defaultRowHeight="14.5" x14ac:dyDescent="0.35"/>
  <cols>
    <col min="1" max="1" width="19.7265625" style="2" bestFit="1" customWidth="1"/>
    <col min="2" max="2" width="15.08984375" style="2" bestFit="1" customWidth="1"/>
    <col min="3" max="3" width="20.81640625" customWidth="1"/>
    <col min="4" max="4" width="30" style="2" customWidth="1"/>
  </cols>
  <sheetData>
    <row r="1" spans="1:7" ht="29" x14ac:dyDescent="0.35">
      <c r="A1" s="3" t="s">
        <v>13</v>
      </c>
      <c r="B1" s="3" t="s">
        <v>0</v>
      </c>
      <c r="C1" s="3" t="s">
        <v>20</v>
      </c>
      <c r="D1" s="3" t="s">
        <v>23</v>
      </c>
      <c r="E1" s="3" t="s">
        <v>16</v>
      </c>
      <c r="F1" s="3" t="s">
        <v>1</v>
      </c>
      <c r="G1" s="3" t="s">
        <v>5</v>
      </c>
    </row>
    <row r="2" spans="1:7" ht="29" x14ac:dyDescent="0.35">
      <c r="A2" s="12" t="s">
        <v>65</v>
      </c>
      <c r="B2" s="2" t="s">
        <v>38</v>
      </c>
      <c r="C2" s="2" t="s">
        <v>39</v>
      </c>
      <c r="E2" t="s">
        <v>101</v>
      </c>
      <c r="F2" t="str">
        <f>_xlfn.XLOOKUP(B2,  Parquets!K$2:K$10, Parquets!J$2:J$10)</f>
        <v>chr_state.parquet, chr_county.parquet</v>
      </c>
      <c r="G2" s="2" t="s">
        <v>49</v>
      </c>
    </row>
    <row r="3" spans="1:7" x14ac:dyDescent="0.35">
      <c r="A3" s="12"/>
      <c r="B3" s="2" t="s">
        <v>30</v>
      </c>
      <c r="C3" t="s">
        <v>21</v>
      </c>
      <c r="D3" s="2" t="s">
        <v>22</v>
      </c>
      <c r="E3" t="s">
        <v>102</v>
      </c>
      <c r="F3" t="str">
        <f>_xlfn.XLOOKUP(B3,  Parquets!K$2:K$10, Parquets!J$2:J$10)</f>
        <v>medicaid_state_payer.parquet</v>
      </c>
    </row>
    <row r="4" spans="1:7" x14ac:dyDescent="0.35">
      <c r="A4" s="2" t="s">
        <v>66</v>
      </c>
      <c r="B4" s="2" t="s">
        <v>30</v>
      </c>
      <c r="C4" t="s">
        <v>21</v>
      </c>
      <c r="D4" s="2" t="s">
        <v>22</v>
      </c>
      <c r="E4" t="s">
        <v>103</v>
      </c>
      <c r="F4" t="str">
        <f>_xlfn.XLOOKUP(B4,  Parquets!K$2:K$10, Parquets!J$2:J$10)</f>
        <v>medicaid_state_payer.parquet</v>
      </c>
    </row>
    <row r="5" spans="1:7" x14ac:dyDescent="0.35">
      <c r="A5" s="2" t="s">
        <v>67</v>
      </c>
      <c r="B5" s="2" t="s">
        <v>30</v>
      </c>
      <c r="C5" t="s">
        <v>21</v>
      </c>
      <c r="D5" s="2" t="s">
        <v>22</v>
      </c>
      <c r="E5" t="s">
        <v>104</v>
      </c>
      <c r="F5" t="str">
        <f>_xlfn.XLOOKUP(B5,  Parquets!K$2:K$10, Parquets!J$2:J$10)</f>
        <v>medicaid_state_payer.parquet</v>
      </c>
    </row>
    <row r="6" spans="1:7" ht="43.5" x14ac:dyDescent="0.35">
      <c r="A6" s="2" t="s">
        <v>68</v>
      </c>
      <c r="B6" s="2" t="s">
        <v>69</v>
      </c>
      <c r="F6" t="str">
        <f>_xlfn.XLOOKUP(B6,  Parquets!K$2:K$10, Parquets!J$2:J$10)</f>
        <v>immunizations_state_age_vaccine.parquet</v>
      </c>
    </row>
    <row r="7" spans="1:7" x14ac:dyDescent="0.35">
      <c r="A7" s="2" t="s">
        <v>70</v>
      </c>
      <c r="B7" s="2" t="s">
        <v>11</v>
      </c>
      <c r="C7" t="s">
        <v>21</v>
      </c>
      <c r="D7" s="2" t="s">
        <v>22</v>
      </c>
      <c r="E7" t="s">
        <v>106</v>
      </c>
      <c r="F7" t="str">
        <f>_xlfn.XLOOKUP(B7,  Parquets!K$2:K$10, Parquets!J$2:J$10)</f>
        <v>yrbss_state_age_demographics.parquet</v>
      </c>
    </row>
    <row r="8" spans="1:7" x14ac:dyDescent="0.35">
      <c r="A8" s="12" t="s">
        <v>71</v>
      </c>
      <c r="B8" s="2" t="s">
        <v>11</v>
      </c>
      <c r="C8" t="s">
        <v>21</v>
      </c>
      <c r="D8" s="2" t="s">
        <v>22</v>
      </c>
      <c r="E8" t="s">
        <v>72</v>
      </c>
      <c r="F8" t="str">
        <f>_xlfn.XLOOKUP(B8,  Parquets!K$2:K$10, Parquets!J$2:J$10)</f>
        <v>yrbss_state_age_demographics.parquet</v>
      </c>
    </row>
    <row r="9" spans="1:7" x14ac:dyDescent="0.35">
      <c r="A9" s="12"/>
      <c r="B9" s="2" t="s">
        <v>30</v>
      </c>
      <c r="C9" t="s">
        <v>21</v>
      </c>
      <c r="D9" s="2" t="s">
        <v>22</v>
      </c>
      <c r="E9" t="s">
        <v>107</v>
      </c>
      <c r="F9" t="str">
        <f>_xlfn.XLOOKUP(B9,  Parquets!K$2:K$10, Parquets!J$2:J$10)</f>
        <v>medicaid_state_payer.parquet</v>
      </c>
    </row>
    <row r="10" spans="1:7" x14ac:dyDescent="0.35">
      <c r="A10" s="12"/>
      <c r="B10" s="2" t="s">
        <v>38</v>
      </c>
      <c r="C10" t="s">
        <v>39</v>
      </c>
      <c r="E10" t="s">
        <v>108</v>
      </c>
      <c r="F10" t="str">
        <f>_xlfn.XLOOKUP(B10,  Parquets!K$2:K$10, Parquets!J$2:J$10)</f>
        <v>chr_state.parquet, chr_county.parquet</v>
      </c>
      <c r="G10" t="s">
        <v>49</v>
      </c>
    </row>
  </sheetData>
  <mergeCells count="2">
    <mergeCell ref="A2:A3"/>
    <mergeCell ref="A8:A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B40A-2C0B-49AE-899C-5D9EFD3D3024}">
  <dimension ref="A1:G7"/>
  <sheetViews>
    <sheetView tabSelected="1" workbookViewId="0">
      <selection activeCell="O13" sqref="O13"/>
    </sheetView>
  </sheetViews>
  <sheetFormatPr defaultRowHeight="14.5" x14ac:dyDescent="0.35"/>
  <cols>
    <col min="1" max="1" width="19.7265625" style="2" bestFit="1" customWidth="1"/>
    <col min="2" max="2" width="13.6328125" bestFit="1" customWidth="1"/>
    <col min="3" max="3" width="20.81640625" customWidth="1"/>
    <col min="4" max="4" width="30" style="2" customWidth="1"/>
  </cols>
  <sheetData>
    <row r="1" spans="1:7" ht="29" x14ac:dyDescent="0.35">
      <c r="A1" s="3" t="s">
        <v>13</v>
      </c>
      <c r="B1" s="1" t="s">
        <v>0</v>
      </c>
      <c r="C1" s="3" t="s">
        <v>20</v>
      </c>
      <c r="D1" s="3" t="s">
        <v>23</v>
      </c>
      <c r="E1" s="3" t="s">
        <v>16</v>
      </c>
      <c r="F1" s="1" t="s">
        <v>1</v>
      </c>
      <c r="G1" s="3" t="s">
        <v>5</v>
      </c>
    </row>
    <row r="2" spans="1:7" x14ac:dyDescent="0.35">
      <c r="A2" s="2" t="s">
        <v>53</v>
      </c>
      <c r="B2" t="s">
        <v>38</v>
      </c>
      <c r="C2" t="s">
        <v>39</v>
      </c>
      <c r="E2" t="s">
        <v>55</v>
      </c>
      <c r="F2" t="str">
        <f>_xlfn.XLOOKUP(B2,  Parquets!K$2:K$10, Parquets!J$2:J$10)</f>
        <v>chr_state.parquet, chr_county.parquet</v>
      </c>
    </row>
    <row r="3" spans="1:7" x14ac:dyDescent="0.35">
      <c r="A3" s="2" t="s">
        <v>54</v>
      </c>
      <c r="B3" t="s">
        <v>38</v>
      </c>
      <c r="C3" t="s">
        <v>39</v>
      </c>
      <c r="E3" t="s">
        <v>56</v>
      </c>
      <c r="F3" t="str">
        <f>_xlfn.XLOOKUP(B3,  Parquets!K$2:K$10, Parquets!J$2:J$10)</f>
        <v>chr_state.parquet, chr_county.parquet</v>
      </c>
    </row>
    <row r="4" spans="1:7" x14ac:dyDescent="0.35">
      <c r="A4" s="2" t="s">
        <v>57</v>
      </c>
      <c r="B4" t="s">
        <v>38</v>
      </c>
      <c r="C4" t="s">
        <v>39</v>
      </c>
      <c r="E4" t="s">
        <v>60</v>
      </c>
      <c r="F4" t="str">
        <f>_xlfn.XLOOKUP(B4,  Parquets!K$2:K$10, Parquets!J$2:J$10)</f>
        <v>chr_state.parquet, chr_county.parquet</v>
      </c>
    </row>
    <row r="5" spans="1:7" x14ac:dyDescent="0.35">
      <c r="A5" s="2" t="s">
        <v>59</v>
      </c>
      <c r="B5" t="s">
        <v>38</v>
      </c>
      <c r="C5" t="s">
        <v>39</v>
      </c>
      <c r="E5" t="s">
        <v>61</v>
      </c>
      <c r="F5" t="str">
        <f>_xlfn.XLOOKUP(B5,  Parquets!K$2:K$10, Parquets!J$2:J$10)</f>
        <v>chr_state.parquet, chr_county.parquet</v>
      </c>
    </row>
    <row r="6" spans="1:7" ht="29" x14ac:dyDescent="0.35">
      <c r="A6" s="2" t="s">
        <v>58</v>
      </c>
      <c r="B6" t="s">
        <v>38</v>
      </c>
      <c r="C6" t="s">
        <v>39</v>
      </c>
      <c r="E6" t="s">
        <v>63</v>
      </c>
      <c r="F6" t="str">
        <f>_xlfn.XLOOKUP(B6,  Parquets!K$2:K$10, Parquets!J$2:J$10)</f>
        <v>chr_state.parquet, chr_county.parquet</v>
      </c>
    </row>
    <row r="7" spans="1:7" x14ac:dyDescent="0.35">
      <c r="A7" s="2" t="s">
        <v>62</v>
      </c>
      <c r="B7" t="s">
        <v>38</v>
      </c>
      <c r="C7" t="s">
        <v>39</v>
      </c>
      <c r="E7" t="s">
        <v>64</v>
      </c>
      <c r="F7" t="str">
        <f>_xlfn.XLOOKUP(B7,  Parquets!K$2:K$10, Parquets!J$2:J$10)</f>
        <v>chr_state.parquet, chr_county.parquet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Parquets</vt:lpstr>
      <vt:lpstr>Overview</vt:lpstr>
      <vt:lpstr>Main page</vt:lpstr>
      <vt:lpstr>Injury &amp; violence</vt:lpstr>
      <vt:lpstr>Substance abuse</vt:lpstr>
      <vt:lpstr>Mental health</vt:lpstr>
      <vt:lpstr>Chronic disease</vt:lpstr>
      <vt:lpstr>Preventive health &amp; wellness</vt:lpstr>
      <vt:lpstr>Social determinants of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Shapiro, Anne</dc:creator>
  <cp:lastModifiedBy>Shapiro, Anne</cp:lastModifiedBy>
  <dcterms:created xsi:type="dcterms:W3CDTF">2026-07-27T13:24:58Z</dcterms:created>
  <dcterms:modified xsi:type="dcterms:W3CDTF">2026-07-27T19:45:11Z</dcterms:modified>
</cp:coreProperties>
</file>